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点明细表" sheetId="1" state="visible" r:id="rId1"/>
    <sheet name="功能点汇总" sheetId="2" state="visible" r:id="rId2"/>
    <sheet name="复杂度判定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2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35" customWidth="1" min="4" max="4"/>
    <col width="10" customWidth="1" min="5" max="5"/>
    <col width="10" customWidth="1" min="6" max="6"/>
    <col width="8" customWidth="1" min="7" max="7"/>
    <col width="8" customWidth="1" min="8" max="8"/>
    <col width="12" customWidth="1" min="9" max="9"/>
    <col width="40" customWidth="1" min="10" max="10"/>
  </cols>
  <sheetData>
    <row r="1">
      <c r="A1" s="1" t="inlineStr">
        <is>
          <t>功能类型</t>
        </is>
      </c>
      <c r="B1" s="1" t="inlineStr">
        <is>
          <t>序号</t>
        </is>
      </c>
      <c r="C1" s="1" t="inlineStr">
        <is>
          <t>功能名称</t>
        </is>
      </c>
      <c r="D1" s="1" t="inlineStr">
        <is>
          <t>数据表</t>
        </is>
      </c>
      <c r="E1" s="1" t="inlineStr">
        <is>
          <t>DET数量</t>
        </is>
      </c>
      <c r="F1" s="1" t="inlineStr">
        <is>
          <t>FTR数量</t>
        </is>
      </c>
      <c r="G1" s="1" t="inlineStr">
        <is>
          <t>复杂度</t>
        </is>
      </c>
      <c r="H1" s="1" t="inlineStr">
        <is>
          <t>权重</t>
        </is>
      </c>
      <c r="I1" s="1" t="inlineStr">
        <is>
          <t>功能点数</t>
        </is>
      </c>
      <c r="J1" s="1" t="inlineStr">
        <is>
          <t>备注</t>
        </is>
      </c>
    </row>
    <row r="2">
      <c r="A2" s="2" t="inlineStr">
        <is>
          <t>ILF</t>
        </is>
      </c>
      <c r="B2" s="3" t="n">
        <v>1</v>
      </c>
      <c r="C2" s="3" t="inlineStr">
        <is>
          <t>t_valuation_record</t>
        </is>
      </c>
      <c r="D2" s="3" t="inlineStr">
        <is>
          <t>t_valuation_record</t>
        </is>
      </c>
      <c r="E2" s="3" t="n">
        <v>7</v>
      </c>
      <c r="F2" s="3" t="n">
        <v>1</v>
      </c>
      <c r="G2" s="3" t="inlineStr">
        <is>
          <t>低</t>
        </is>
      </c>
      <c r="H2" s="3" t="n">
        <v>6</v>
      </c>
      <c r="I2" s="3" t="n">
        <v>6</v>
      </c>
      <c r="J2" s="3" t="inlineStr">
        <is>
          <t>估值记录表</t>
        </is>
      </c>
    </row>
    <row r="3">
      <c r="A3" s="2" t="inlineStr">
        <is>
          <t>ILF</t>
        </is>
      </c>
      <c r="B3" s="3" t="n">
        <v>2</v>
      </c>
      <c r="C3" s="3" t="inlineStr">
        <is>
          <t>t_transaction_record</t>
        </is>
      </c>
      <c r="D3" s="3" t="inlineStr">
        <is>
          <t>t_transaction_record</t>
        </is>
      </c>
      <c r="E3" s="3" t="n">
        <v>7</v>
      </c>
      <c r="F3" s="3" t="n">
        <v>1</v>
      </c>
      <c r="G3" s="3" t="inlineStr">
        <is>
          <t>低</t>
        </is>
      </c>
      <c r="H3" s="3" t="n">
        <v>6</v>
      </c>
      <c r="I3" s="3" t="n">
        <v>6</v>
      </c>
      <c r="J3" s="3" t="inlineStr">
        <is>
          <t>交易记录表</t>
        </is>
      </c>
    </row>
    <row r="4">
      <c r="A4" s="2" t="inlineStr">
        <is>
          <t>ILF</t>
        </is>
      </c>
      <c r="B4" s="3" t="n">
        <v>3</v>
      </c>
      <c r="C4" s="3" t="inlineStr">
        <is>
          <t>t_cash_delivery_record</t>
        </is>
      </c>
      <c r="D4" s="3" t="inlineStr">
        <is>
          <t>t_cash_delivery_record</t>
        </is>
      </c>
      <c r="E4" s="3" t="n">
        <v>4</v>
      </c>
      <c r="F4" s="3" t="n">
        <v>1</v>
      </c>
      <c r="G4" s="3" t="inlineStr">
        <is>
          <t>低</t>
        </is>
      </c>
      <c r="H4" s="3" t="n">
        <v>6</v>
      </c>
      <c r="I4" s="3" t="n">
        <v>6</v>
      </c>
      <c r="J4" s="3" t="inlineStr">
        <is>
          <t>现金交付记录表</t>
        </is>
      </c>
    </row>
    <row r="5">
      <c r="A5" s="2" t="inlineStr">
        <is>
          <t>ILF</t>
        </is>
      </c>
      <c r="B5" s="3" t="n">
        <v>4</v>
      </c>
      <c r="C5" s="3" t="inlineStr">
        <is>
          <t>t_financial_product_delivery_record</t>
        </is>
      </c>
      <c r="D5" s="3" t="inlineStr">
        <is>
          <t>t_financial_product_delivery_record</t>
        </is>
      </c>
      <c r="E5" s="3" t="n">
        <v>5</v>
      </c>
      <c r="F5" s="3" t="n">
        <v>1</v>
      </c>
      <c r="G5" s="3" t="inlineStr">
        <is>
          <t>低</t>
        </is>
      </c>
      <c r="H5" s="3" t="n">
        <v>6</v>
      </c>
      <c r="I5" s="3" t="n">
        <v>6</v>
      </c>
      <c r="J5" s="3" t="inlineStr">
        <is>
          <t>金融产品交付记录表</t>
        </is>
      </c>
    </row>
    <row r="6">
      <c r="A6" s="3" t="inlineStr">
        <is>
          <t>EI</t>
        </is>
      </c>
      <c r="B6" s="3" t="n">
        <v>5</v>
      </c>
      <c r="C6" s="3" t="inlineStr">
        <is>
          <t>创建估值记录</t>
        </is>
      </c>
      <c r="D6" s="3" t="inlineStr">
        <is>
          <t>t_valuation_record</t>
        </is>
      </c>
      <c r="E6" s="3" t="n">
        <v>8</v>
      </c>
      <c r="F6" s="3" t="n">
        <v>1</v>
      </c>
      <c r="G6" s="3" t="inlineStr">
        <is>
          <t>低</t>
        </is>
      </c>
      <c r="H6" s="3" t="n">
        <v>3</v>
      </c>
      <c r="I6" s="3" t="n">
        <v>3</v>
      </c>
      <c r="J6" s="3" t="inlineStr">
        <is>
          <t>POST /api/valuation/record</t>
        </is>
      </c>
    </row>
    <row r="7">
      <c r="A7" s="3" t="inlineStr">
        <is>
          <t>EQ</t>
        </is>
      </c>
      <c r="B7" s="3" t="n">
        <v>6</v>
      </c>
      <c r="C7" s="3" t="inlineStr">
        <is>
          <t>查询估值记录（ID）</t>
        </is>
      </c>
      <c r="D7" s="3" t="inlineStr">
        <is>
          <t>t_valuation_record</t>
        </is>
      </c>
      <c r="E7" s="3" t="n">
        <v>7</v>
      </c>
      <c r="F7" s="3" t="n">
        <v>1</v>
      </c>
      <c r="G7" s="3" t="inlineStr">
        <is>
          <t>低</t>
        </is>
      </c>
      <c r="H7" s="3" t="n">
        <v>3</v>
      </c>
      <c r="I7" s="3" t="n">
        <v>3</v>
      </c>
      <c r="J7" s="3" t="inlineStr">
        <is>
          <t>GET /api/valuation/record/{id}</t>
        </is>
      </c>
    </row>
    <row r="8">
      <c r="A8" s="3" t="inlineStr">
        <is>
          <t>EQ</t>
        </is>
      </c>
      <c r="B8" s="3" t="n">
        <v>7</v>
      </c>
      <c r="C8" s="3" t="inlineStr">
        <is>
          <t>按项目ID查询</t>
        </is>
      </c>
      <c r="D8" s="3" t="inlineStr">
        <is>
          <t>t_valuation_record</t>
        </is>
      </c>
      <c r="E8" s="3" t="n">
        <v>7</v>
      </c>
      <c r="F8" s="3" t="n">
        <v>1</v>
      </c>
      <c r="G8" s="3" t="inlineStr">
        <is>
          <t>低</t>
        </is>
      </c>
      <c r="H8" s="3" t="n">
        <v>3</v>
      </c>
      <c r="I8" s="3" t="n">
        <v>3</v>
      </c>
      <c r="J8" s="3" t="inlineStr">
        <is>
          <t>GET /api/valuation/record/project/{projectId}</t>
        </is>
      </c>
    </row>
    <row r="9">
      <c r="A9" s="3" t="inlineStr">
        <is>
          <t>EQ</t>
        </is>
      </c>
      <c r="B9" s="3" t="n">
        <v>8</v>
      </c>
      <c r="C9" s="3" t="inlineStr">
        <is>
          <t>按项目代码查询</t>
        </is>
      </c>
      <c r="D9" s="3" t="inlineStr">
        <is>
          <t>t_valuation_record</t>
        </is>
      </c>
      <c r="E9" s="3" t="n">
        <v>7</v>
      </c>
      <c r="F9" s="3" t="n">
        <v>1</v>
      </c>
      <c r="G9" s="3" t="inlineStr">
        <is>
          <t>低</t>
        </is>
      </c>
      <c r="H9" s="3" t="n">
        <v>3</v>
      </c>
      <c r="I9" s="3" t="n">
        <v>3</v>
      </c>
      <c r="J9" s="3" t="inlineStr">
        <is>
          <t>GET /api/valuation/record/code/{projectCode}</t>
        </is>
      </c>
    </row>
    <row r="10">
      <c r="A10" s="3" t="inlineStr">
        <is>
          <t>EI</t>
        </is>
      </c>
      <c r="B10" s="3" t="n">
        <v>9</v>
      </c>
      <c r="C10" s="3" t="inlineStr">
        <is>
          <t>删除估值记录</t>
        </is>
      </c>
      <c r="D10" s="3" t="inlineStr">
        <is>
          <t>t_valuation_record</t>
        </is>
      </c>
      <c r="E10" s="3" t="n">
        <v>1</v>
      </c>
      <c r="F10" s="3" t="n">
        <v>1</v>
      </c>
      <c r="G10" s="3" t="inlineStr">
        <is>
          <t>低</t>
        </is>
      </c>
      <c r="H10" s="3" t="n">
        <v>3</v>
      </c>
      <c r="I10" s="3" t="n">
        <v>3</v>
      </c>
      <c r="J10" s="3" t="inlineStr">
        <is>
          <t>DELETE /api/valuation/record/{id}</t>
        </is>
      </c>
    </row>
    <row r="11">
      <c r="A11" s="3" t="inlineStr">
        <is>
          <t>EO</t>
        </is>
      </c>
      <c r="B11" s="3" t="n">
        <v>10</v>
      </c>
      <c r="C11" s="3" t="inlineStr">
        <is>
          <t>按项目ID计算估值</t>
        </is>
      </c>
      <c r="D11" s="3" t="inlineStr">
        <is>
          <t>4表关联</t>
        </is>
      </c>
      <c r="E11" s="3" t="n">
        <v>1</v>
      </c>
      <c r="F11" s="3" t="n">
        <v>4</v>
      </c>
      <c r="G11" s="3" t="inlineStr">
        <is>
          <t>中</t>
        </is>
      </c>
      <c r="H11" s="3" t="n">
        <v>4</v>
      </c>
      <c r="I11" s="3" t="n">
        <v>4</v>
      </c>
      <c r="J11" s="3" t="inlineStr">
        <is>
          <t>GET /api/valuation/calculate/project/{projectId}</t>
        </is>
      </c>
    </row>
    <row r="12">
      <c r="A12" s="3" t="inlineStr">
        <is>
          <t>EO</t>
        </is>
      </c>
      <c r="B12" s="3" t="n">
        <v>11</v>
      </c>
      <c r="C12" s="3" t="inlineStr">
        <is>
          <t>按项目代码计算估值</t>
        </is>
      </c>
      <c r="D12" s="3" t="inlineStr">
        <is>
          <t>4表关联</t>
        </is>
      </c>
      <c r="E12" s="3" t="n">
        <v>1</v>
      </c>
      <c r="F12" s="3" t="n">
        <v>4</v>
      </c>
      <c r="G12" s="3" t="inlineStr">
        <is>
          <t>中</t>
        </is>
      </c>
      <c r="H12" s="3" t="n">
        <v>4</v>
      </c>
      <c r="I12" s="3" t="n">
        <v>4</v>
      </c>
      <c r="J12" s="3" t="inlineStr">
        <is>
          <t>GET /api/valuation/calculate/code/{projectCode}</t>
        </is>
      </c>
    </row>
    <row r="13">
      <c r="A13" s="3" t="inlineStr">
        <is>
          <t>EI</t>
        </is>
      </c>
      <c r="B13" s="3" t="n">
        <v>12</v>
      </c>
      <c r="C13" s="3" t="inlineStr">
        <is>
          <t>创建交易记录</t>
        </is>
      </c>
      <c r="D13" s="3" t="inlineStr">
        <is>
          <t>t_transaction_record</t>
        </is>
      </c>
      <c r="E13" s="3" t="n">
        <v>7</v>
      </c>
      <c r="F13" s="3" t="n">
        <v>1</v>
      </c>
      <c r="G13" s="3" t="inlineStr">
        <is>
          <t>低</t>
        </is>
      </c>
      <c r="H13" s="3" t="n">
        <v>3</v>
      </c>
      <c r="I13" s="3" t="n">
        <v>3</v>
      </c>
      <c r="J13" s="3" t="inlineStr">
        <is>
          <t>POST /api/valuation/transaction</t>
        </is>
      </c>
    </row>
    <row r="14">
      <c r="A14" s="3" t="inlineStr">
        <is>
          <t>EI</t>
        </is>
      </c>
      <c r="B14" s="3" t="n">
        <v>13</v>
      </c>
      <c r="C14" s="3" t="inlineStr">
        <is>
          <t>删除交易记录</t>
        </is>
      </c>
      <c r="D14" s="3" t="inlineStr">
        <is>
          <t>t_transaction_record</t>
        </is>
      </c>
      <c r="E14" s="3" t="n">
        <v>1</v>
      </c>
      <c r="F14" s="3" t="n">
        <v>1</v>
      </c>
      <c r="G14" s="3" t="inlineStr">
        <is>
          <t>低</t>
        </is>
      </c>
      <c r="H14" s="3" t="n">
        <v>3</v>
      </c>
      <c r="I14" s="3" t="n">
        <v>3</v>
      </c>
      <c r="J14" s="3" t="inlineStr">
        <is>
          <t>DELETE /api/valuation/transaction/{id}</t>
        </is>
      </c>
    </row>
    <row r="15">
      <c r="A15" s="3" t="inlineStr">
        <is>
          <t>EI</t>
        </is>
      </c>
      <c r="B15" s="3" t="n">
        <v>14</v>
      </c>
      <c r="C15" s="3" t="inlineStr">
        <is>
          <t>创建交付记录</t>
        </is>
      </c>
      <c r="D15" s="3" t="inlineStr">
        <is>
          <t>交付记录表</t>
        </is>
      </c>
      <c r="E15" s="3" t="n">
        <v>7</v>
      </c>
      <c r="F15" s="3" t="n">
        <v>1</v>
      </c>
      <c r="G15" s="3" t="inlineStr">
        <is>
          <t>低</t>
        </is>
      </c>
      <c r="H15" s="3" t="n">
        <v>3</v>
      </c>
      <c r="I15" s="3" t="n">
        <v>3</v>
      </c>
      <c r="J15" s="3" t="inlineStr">
        <is>
          <t>POST /api/valuation/delivery</t>
        </is>
      </c>
    </row>
    <row r="16">
      <c r="A16" s="3" t="inlineStr">
        <is>
          <t>EI</t>
        </is>
      </c>
      <c r="B16" s="3" t="n">
        <v>15</v>
      </c>
      <c r="C16" s="3" t="inlineStr">
        <is>
          <t>删除交付记录</t>
        </is>
      </c>
      <c r="D16" s="3" t="inlineStr">
        <is>
          <t>交付记录表</t>
        </is>
      </c>
      <c r="E16" s="3" t="n">
        <v>1</v>
      </c>
      <c r="F16" s="3" t="n">
        <v>1</v>
      </c>
      <c r="G16" s="3" t="inlineStr">
        <is>
          <t>低</t>
        </is>
      </c>
      <c r="H16" s="3" t="n">
        <v>3</v>
      </c>
      <c r="I16" s="3" t="n">
        <v>3</v>
      </c>
      <c r="J16" s="3" t="inlineStr">
        <is>
          <t>DELETE /api/valuation/delivery/{id}</t>
        </is>
      </c>
    </row>
    <row r="17">
      <c r="A17" s="4" t="inlineStr">
        <is>
          <t>合计</t>
        </is>
      </c>
      <c r="H17" s="4">
        <f>SUM(I2:I16)</f>
        <v/>
      </c>
      <c r="I17" s="4">
        <f>SUM(I2:I16)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1" t="inlineStr">
        <is>
          <t>分类</t>
        </is>
      </c>
      <c r="B1" s="1" t="inlineStr">
        <is>
          <t>项目</t>
        </is>
      </c>
      <c r="C1" s="1" t="inlineStr">
        <is>
          <t>数值</t>
        </is>
      </c>
    </row>
    <row r="2">
      <c r="A2" t="inlineStr">
        <is>
          <t>功能点统计</t>
        </is>
      </c>
      <c r="B2" t="inlineStr">
        <is>
          <t>数据功能点(ILF)</t>
        </is>
      </c>
      <c r="C2" s="5" t="n">
        <v>24</v>
      </c>
    </row>
    <row r="3">
      <c r="A3" t="inlineStr">
        <is>
          <t>功能点统计</t>
        </is>
      </c>
      <c r="B3" t="inlineStr">
        <is>
          <t>事务功能点(EI)</t>
        </is>
      </c>
      <c r="C3" s="5" t="n">
        <v>12</v>
      </c>
    </row>
    <row r="4">
      <c r="A4" t="inlineStr">
        <is>
          <t>功能点统计</t>
        </is>
      </c>
      <c r="B4" t="inlineStr">
        <is>
          <t>事务功能点(EO)</t>
        </is>
      </c>
      <c r="C4" s="5" t="n">
        <v>8</v>
      </c>
    </row>
    <row r="5">
      <c r="A5" t="inlineStr">
        <is>
          <t>功能点统计</t>
        </is>
      </c>
      <c r="B5" t="inlineStr">
        <is>
          <t>事务功能点(EQ)</t>
        </is>
      </c>
      <c r="C5" s="5" t="n">
        <v>9</v>
      </c>
    </row>
    <row r="6">
      <c r="A6" t="inlineStr">
        <is>
          <t>功能点统计</t>
        </is>
      </c>
      <c r="B6" t="inlineStr">
        <is>
          <t>事务功能点合计</t>
        </is>
      </c>
      <c r="C6" s="5" t="n">
        <v>29</v>
      </c>
    </row>
    <row r="7">
      <c r="A7" t="inlineStr">
        <is>
          <t>功能点统计</t>
        </is>
      </c>
      <c r="B7" t="inlineStr">
        <is>
          <t>未调整功能点(UFP)</t>
        </is>
      </c>
      <c r="C7" s="6">
        <f>B5+B8</f>
        <v/>
      </c>
    </row>
    <row r="8">
      <c r="A8" t="inlineStr"/>
      <c r="B8" t="inlineStr"/>
      <c r="C8" t="inlineStr"/>
    </row>
    <row r="9">
      <c r="A9" t="inlineStr">
        <is>
          <t>系统特征</t>
        </is>
      </c>
      <c r="B9" t="inlineStr">
        <is>
          <t>数据通信</t>
        </is>
      </c>
      <c r="C9" s="5" t="n">
        <v>2</v>
      </c>
    </row>
    <row r="10">
      <c r="A10" t="inlineStr">
        <is>
          <t>系统特征</t>
        </is>
      </c>
      <c r="B10" t="inlineStr">
        <is>
          <t>分布式处理</t>
        </is>
      </c>
      <c r="C10" s="5" t="n">
        <v>1</v>
      </c>
    </row>
    <row r="11">
      <c r="A11" t="inlineStr">
        <is>
          <t>系统特征</t>
        </is>
      </c>
      <c r="B11" t="inlineStr">
        <is>
          <t>性能</t>
        </is>
      </c>
      <c r="C11" s="5" t="n">
        <v>2</v>
      </c>
    </row>
    <row r="12">
      <c r="A12" t="inlineStr">
        <is>
          <t>系统特征</t>
        </is>
      </c>
      <c r="B12" t="inlineStr">
        <is>
          <t>硬件利用率</t>
        </is>
      </c>
      <c r="C12" s="5" t="n">
        <v>1</v>
      </c>
    </row>
    <row r="13">
      <c r="A13" t="inlineStr">
        <is>
          <t>系统特征</t>
        </is>
      </c>
      <c r="B13" t="inlineStr">
        <is>
          <t>事务率</t>
        </is>
      </c>
      <c r="C13" s="5" t="n">
        <v>3</v>
      </c>
    </row>
    <row r="14">
      <c r="A14" t="inlineStr">
        <is>
          <t>系统特征</t>
        </is>
      </c>
      <c r="B14" t="inlineStr">
        <is>
          <t>在线数据录入</t>
        </is>
      </c>
      <c r="C14" s="5" t="n">
        <v>3</v>
      </c>
    </row>
    <row r="15">
      <c r="A15" t="inlineStr">
        <is>
          <t>系统特征</t>
        </is>
      </c>
      <c r="B15" t="inlineStr">
        <is>
          <t>终端用户效率</t>
        </is>
      </c>
      <c r="C15" s="5" t="n">
        <v>2</v>
      </c>
    </row>
    <row r="16">
      <c r="A16" t="inlineStr">
        <is>
          <t>系统特征</t>
        </is>
      </c>
      <c r="B16" t="inlineStr">
        <is>
          <t>在线更新</t>
        </is>
      </c>
      <c r="C16" s="5" t="n">
        <v>2</v>
      </c>
    </row>
    <row r="17">
      <c r="A17" t="inlineStr">
        <is>
          <t>系统特征</t>
        </is>
      </c>
      <c r="B17" t="inlineStr">
        <is>
          <t>复杂处理</t>
        </is>
      </c>
      <c r="C17" s="5" t="n">
        <v>1</v>
      </c>
    </row>
    <row r="18">
      <c r="A18" t="inlineStr">
        <is>
          <t>系统特征</t>
        </is>
      </c>
      <c r="B18" t="inlineStr">
        <is>
          <t>可复用性</t>
        </is>
      </c>
      <c r="C18" s="5" t="n">
        <v>1</v>
      </c>
    </row>
    <row r="19">
      <c r="A19" t="inlineStr">
        <is>
          <t>系统特征</t>
        </is>
      </c>
      <c r="B19" t="inlineStr">
        <is>
          <t>易于安装</t>
        </is>
      </c>
      <c r="C19" s="5" t="n">
        <v>2</v>
      </c>
    </row>
    <row r="20">
      <c r="A20" t="inlineStr">
        <is>
          <t>系统特征</t>
        </is>
      </c>
      <c r="B20" t="inlineStr">
        <is>
          <t>易于操作</t>
        </is>
      </c>
      <c r="C20" s="5" t="n">
        <v>2</v>
      </c>
    </row>
    <row r="21">
      <c r="A21" t="inlineStr">
        <is>
          <t>系统特征</t>
        </is>
      </c>
      <c r="B21" t="inlineStr">
        <is>
          <t>多场地</t>
        </is>
      </c>
      <c r="C21" s="5" t="n">
        <v>1</v>
      </c>
    </row>
    <row r="22">
      <c r="A22" t="inlineStr">
        <is>
          <t>系统特征</t>
        </is>
      </c>
      <c r="B22" t="inlineStr">
        <is>
          <t>支持变更</t>
        </is>
      </c>
      <c r="C22" s="5" t="n">
        <v>2</v>
      </c>
    </row>
    <row r="23">
      <c r="A23" t="inlineStr">
        <is>
          <t>系统特征</t>
        </is>
      </c>
      <c r="B23" t="inlineStr">
        <is>
          <t>特征评分合计</t>
        </is>
      </c>
      <c r="C23" s="6">
        <f>SUM(B10:B21)</f>
        <v/>
      </c>
    </row>
    <row r="24">
      <c r="A24" t="inlineStr"/>
      <c r="B24" t="inlineStr"/>
      <c r="C24" t="inlineStr"/>
    </row>
    <row r="25">
      <c r="A25" t="inlineStr">
        <is>
          <t>计算结果</t>
        </is>
      </c>
      <c r="B25" t="inlineStr">
        <is>
          <t>TCF调整因子</t>
        </is>
      </c>
      <c r="C25" s="6">
        <f>14*(0.65+B22*0.01)</f>
        <v/>
      </c>
    </row>
    <row r="26">
      <c r="A26" t="inlineStr">
        <is>
          <t>计算结果</t>
        </is>
      </c>
      <c r="B26" t="inlineStr">
        <is>
          <t>调整后功能点(AFP)</t>
        </is>
      </c>
      <c r="C26" s="6">
        <f>B6*(B24/14)</f>
        <v/>
      </c>
    </row>
    <row r="27">
      <c r="A27" t="inlineStr">
        <is>
          <t>计算结果</t>
        </is>
      </c>
      <c r="B27" t="inlineStr">
        <is>
          <t>四舍五入</t>
        </is>
      </c>
      <c r="C27" s="6">
        <f>ROUND(B25,0)</f>
        <v/>
      </c>
    </row>
    <row r="28">
      <c r="A28" t="inlineStr"/>
      <c r="B28" t="inlineStr"/>
      <c r="C28" t="inlineStr"/>
    </row>
    <row r="29">
      <c r="A29" t="inlineStr">
        <is>
          <t>工作量估算</t>
        </is>
      </c>
      <c r="B29" t="inlineStr">
        <is>
          <t>基准(小时/FP)</t>
        </is>
      </c>
      <c r="C29" s="5" t="n">
        <v>8</v>
      </c>
    </row>
    <row r="30">
      <c r="A30" t="inlineStr">
        <is>
          <t>工作量估算</t>
        </is>
      </c>
      <c r="B30" t="inlineStr">
        <is>
          <t>总工时(小时)</t>
        </is>
      </c>
      <c r="C30" s="6">
        <f>B28*B27</f>
        <v/>
      </c>
    </row>
    <row r="31">
      <c r="A31" t="inlineStr">
        <is>
          <t>工作量估算</t>
        </is>
      </c>
      <c r="B31" t="inlineStr">
        <is>
          <t>总工时(人天)</t>
        </is>
      </c>
      <c r="C31" s="6">
        <f>B29/8</f>
        <v/>
      </c>
    </row>
    <row r="32">
      <c r="A32" t="inlineStr">
        <is>
          <t>工作量估算</t>
        </is>
      </c>
      <c r="B32" t="inlineStr">
        <is>
          <t>含缓冲(1.2倍)</t>
        </is>
      </c>
      <c r="C32" s="6">
        <f>B30*1.2</f>
        <v/>
      </c>
    </row>
    <row r="33">
      <c r="A33" t="inlineStr">
        <is>
          <t>工作量估算</t>
        </is>
      </c>
      <c r="B33" t="inlineStr">
        <is>
          <t>3人团队(天)</t>
        </is>
      </c>
      <c r="C33" s="6">
        <f>B31/3</f>
        <v/>
      </c>
    </row>
    <row r="34">
      <c r="A34" t="inlineStr">
        <is>
          <t>工作量估算</t>
        </is>
      </c>
      <c r="B34" t="inlineStr">
        <is>
          <t>5人团队(天)</t>
        </is>
      </c>
      <c r="C34" s="6">
        <f>B31/5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</cols>
  <sheetData>
    <row r="1">
      <c r="A1" s="7" t="inlineStr">
        <is>
          <t>类型</t>
        </is>
      </c>
      <c r="B1" s="7" t="inlineStr">
        <is>
          <t>复杂度</t>
        </is>
      </c>
      <c r="C1" s="7" t="inlineStr">
        <is>
          <t>判定条件</t>
        </is>
      </c>
    </row>
    <row r="2">
      <c r="A2" t="inlineStr">
        <is>
          <t>数据功能</t>
        </is>
      </c>
      <c r="B2" t="inlineStr">
        <is>
          <t>低</t>
        </is>
      </c>
      <c r="C2" t="inlineStr">
        <is>
          <t>字段 ≤19 且 记录类型 ≤1 且 引用文件 ≤1</t>
        </is>
      </c>
    </row>
    <row r="3">
      <c r="A3" t="inlineStr">
        <is>
          <t>数据功能</t>
        </is>
      </c>
      <c r="B3" t="inlineStr">
        <is>
          <t>中</t>
        </is>
      </c>
      <c r="C3" t="inlineStr">
        <is>
          <t>字段 20-50 或 记录类型 2-3 或 引用文件 2-3</t>
        </is>
      </c>
    </row>
    <row r="4">
      <c r="A4" t="inlineStr">
        <is>
          <t>数据功能</t>
        </is>
      </c>
      <c r="B4" t="inlineStr">
        <is>
          <t>高</t>
        </is>
      </c>
      <c r="C4" t="inlineStr">
        <is>
          <t>字段 &gt;50 或 记录类型 &gt;3 或 引用文件 &gt;3</t>
        </is>
      </c>
    </row>
    <row r="5">
      <c r="A5" t="inlineStr"/>
      <c r="B5" t="inlineStr"/>
      <c r="C5" t="inlineStr"/>
    </row>
    <row r="6">
      <c r="A6" t="inlineStr">
        <is>
          <t>事务功能</t>
        </is>
      </c>
      <c r="B6" t="inlineStr">
        <is>
          <t>低</t>
        </is>
      </c>
      <c r="C6" t="inlineStr">
        <is>
          <t>数据元素 ≤5 且 引用文件 ≤1</t>
        </is>
      </c>
    </row>
    <row r="7">
      <c r="A7" t="inlineStr">
        <is>
          <t>事务功能</t>
        </is>
      </c>
      <c r="B7" t="inlineStr">
        <is>
          <t>中</t>
        </is>
      </c>
      <c r="C7" t="inlineStr">
        <is>
          <t>数据元素 6-19 或 引用文件 2-3</t>
        </is>
      </c>
    </row>
    <row r="8">
      <c r="A8" t="inlineStr">
        <is>
          <t>事务功能</t>
        </is>
      </c>
      <c r="B8" t="inlineStr">
        <is>
          <t>高</t>
        </is>
      </c>
      <c r="C8" t="inlineStr">
        <is>
          <t>数据元素 &gt;19 或 引用文件 &gt;3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2026-03-14T09:09:51Z</dcterms:created>
  <dcterms:modified xsi:type="dcterms:W3CDTF">2026-03-14T09:09:51Z</dcterms:modified>
</cp:coreProperties>
</file>